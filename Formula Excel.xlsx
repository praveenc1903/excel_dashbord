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arning\Excel\"/>
    </mc:Choice>
  </mc:AlternateContent>
  <xr:revisionPtr revIDLastSave="0" documentId="8_{7B4DB92E-CB4E-4FDD-8DF6-233CAD8BCF16}" xr6:coauthVersionLast="47" xr6:coauthVersionMax="47" xr10:uidLastSave="{00000000-0000-0000-0000-000000000000}"/>
  <bookViews>
    <workbookView xWindow="-108" yWindow="-108" windowWidth="23256" windowHeight="12456" firstSheet="4" activeTab="10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Substitute" sheetId="7" r:id="rId7"/>
    <sheet name="SUM-SumIF" sheetId="12" r:id="rId8"/>
    <sheet name="Count-CountIF" sheetId="5" r:id="rId9"/>
    <sheet name="Concatenate" sheetId="1" r:id="rId10"/>
    <sheet name="Days-NetworkDays" sheetId="13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3" l="1"/>
  <c r="K4" i="13"/>
  <c r="K5" i="13"/>
  <c r="K6" i="13"/>
  <c r="K7" i="13"/>
  <c r="K8" i="13"/>
  <c r="K9" i="13"/>
  <c r="K10" i="13"/>
  <c r="K2" i="13"/>
  <c r="J3" i="13"/>
  <c r="J4" i="13"/>
  <c r="J5" i="13"/>
  <c r="J6" i="13"/>
  <c r="J7" i="13"/>
  <c r="J8" i="13"/>
  <c r="J9" i="13"/>
  <c r="J10" i="13"/>
  <c r="J2" i="13"/>
  <c r="L2" i="5"/>
  <c r="K2" i="5"/>
  <c r="J2" i="5"/>
  <c r="L2" i="12"/>
  <c r="K2" i="12"/>
  <c r="J2" i="12"/>
  <c r="K3" i="7"/>
  <c r="K4" i="7"/>
  <c r="K5" i="7"/>
  <c r="K6" i="7"/>
  <c r="K7" i="7"/>
  <c r="K8" i="7"/>
  <c r="K9" i="7"/>
  <c r="K10" i="7"/>
  <c r="K2" i="7"/>
  <c r="J3" i="7"/>
  <c r="J4" i="7"/>
  <c r="J5" i="7"/>
  <c r="J6" i="7"/>
  <c r="J7" i="7"/>
  <c r="J8" i="7"/>
  <c r="J9" i="7"/>
  <c r="J10" i="7"/>
  <c r="J2" i="7"/>
  <c r="L3" i="7"/>
  <c r="L4" i="7"/>
  <c r="L5" i="7"/>
  <c r="L6" i="7"/>
  <c r="L7" i="7"/>
  <c r="L8" i="7"/>
  <c r="L9" i="7"/>
  <c r="L10" i="7"/>
  <c r="L2" i="7"/>
  <c r="K3" i="1"/>
  <c r="K4" i="1"/>
  <c r="K5" i="1"/>
  <c r="K6" i="1"/>
  <c r="K7" i="1"/>
  <c r="K8" i="1"/>
  <c r="K9" i="1"/>
  <c r="K10" i="1"/>
  <c r="K2" i="1"/>
  <c r="J3" i="1"/>
  <c r="J4" i="1"/>
  <c r="J5" i="1"/>
  <c r="J6" i="1"/>
  <c r="J7" i="1"/>
  <c r="J8" i="1"/>
  <c r="J9" i="1"/>
  <c r="J10" i="1"/>
  <c r="J2" i="1"/>
  <c r="J3" i="6"/>
  <c r="J4" i="6"/>
  <c r="J5" i="6"/>
  <c r="J6" i="6"/>
  <c r="J7" i="6"/>
  <c r="J8" i="6"/>
  <c r="J9" i="6"/>
  <c r="J10" i="6"/>
  <c r="J2" i="6"/>
  <c r="M2" i="3"/>
  <c r="M3" i="3"/>
  <c r="M4" i="3"/>
  <c r="M5" i="3"/>
  <c r="M6" i="3"/>
  <c r="M7" i="3"/>
  <c r="M8" i="3"/>
  <c r="M9" i="3"/>
  <c r="M10" i="3"/>
  <c r="J10" i="3"/>
  <c r="J8" i="3"/>
  <c r="J4" i="3"/>
  <c r="J3" i="3"/>
  <c r="J5" i="3"/>
  <c r="J6" i="3"/>
  <c r="J7" i="3"/>
  <c r="J9" i="3"/>
  <c r="J2" i="3"/>
  <c r="L2" i="3"/>
  <c r="L6" i="3"/>
  <c r="M4" i="4"/>
  <c r="L3" i="3"/>
  <c r="L4" i="3"/>
  <c r="L5" i="3"/>
  <c r="L7" i="3"/>
  <c r="L8" i="3"/>
  <c r="L9" i="3"/>
  <c r="L10" i="3"/>
  <c r="M3" i="4"/>
  <c r="M5" i="4"/>
  <c r="M6" i="4"/>
  <c r="M7" i="4"/>
  <c r="M8" i="4"/>
  <c r="M9" i="4"/>
  <c r="M10" i="4"/>
  <c r="M2" i="4"/>
  <c r="L3" i="4"/>
  <c r="L4" i="4"/>
  <c r="L5" i="4"/>
  <c r="L6" i="4"/>
  <c r="L7" i="4"/>
  <c r="L8" i="4"/>
  <c r="L9" i="4"/>
  <c r="L10" i="4"/>
  <c r="L2" i="4"/>
  <c r="K3" i="4"/>
  <c r="K4" i="4"/>
  <c r="K5" i="4"/>
  <c r="K6" i="4"/>
  <c r="K7" i="4"/>
  <c r="K8" i="4"/>
  <c r="K9" i="4"/>
  <c r="K10" i="4"/>
  <c r="K2" i="4"/>
  <c r="J3" i="2"/>
  <c r="J4" i="2"/>
  <c r="J5" i="2"/>
  <c r="J6" i="2"/>
  <c r="J7" i="2"/>
  <c r="J8" i="2"/>
  <c r="J9" i="2"/>
  <c r="J10" i="2"/>
  <c r="J2" i="2"/>
  <c r="L3" i="8"/>
  <c r="L4" i="8"/>
  <c r="L5" i="8"/>
  <c r="L6" i="8"/>
  <c r="L7" i="8"/>
  <c r="L8" i="8"/>
  <c r="L9" i="8"/>
  <c r="L10" i="8"/>
  <c r="L2" i="8"/>
  <c r="K3" i="8"/>
  <c r="K4" i="8"/>
  <c r="K5" i="8"/>
  <c r="K6" i="8"/>
  <c r="K7" i="8"/>
  <c r="K8" i="8"/>
  <c r="K9" i="8"/>
  <c r="K10" i="8"/>
  <c r="K2" i="8"/>
  <c r="J3" i="8"/>
  <c r="J4" i="8"/>
  <c r="J5" i="8"/>
  <c r="J6" i="8"/>
  <c r="J7" i="8"/>
  <c r="J8" i="8"/>
  <c r="J9" i="8"/>
  <c r="J10" i="8"/>
  <c r="J2" i="8"/>
  <c r="K3" i="9"/>
  <c r="J3" i="9"/>
  <c r="K2" i="9"/>
  <c r="J2" i="9"/>
  <c r="H11" i="1"/>
  <c r="H12" i="1"/>
</calcChain>
</file>

<file path=xl/sharedStrings.xml><?xml version="1.0" encoding="utf-8"?>
<sst xmlns="http://schemas.openxmlformats.org/spreadsheetml/2006/main" count="588" uniqueCount="93">
  <si>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</si>
  <si>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</si>
  <si>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</si>
  <si>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</si>
  <si>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</si>
  <si>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</si>
  <si>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</si>
  <si>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</si>
  <si>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</si>
  <si>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</si>
  <si>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</si>
  <si>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</si>
  <si>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</si>
  <si>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</si>
  <si>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</si>
  <si>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</si>
  <si>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</si>
  <si>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</si>
  <si>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</si>
  <si>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</si>
  <si>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</si>
  <si>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</si>
  <si>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</si>
  <si>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</si>
  <si>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</si>
  <si>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</si>
  <si>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</si>
  <si>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</si>
  <si>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</si>
  <si>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</si>
  <si>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</si>
  <si>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</si>
  <si>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</si>
  <si>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</si>
  <si>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</si>
  <si>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</si>
  <si>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</si>
  <si>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</si>
  <si>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</si>
  <si>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</si>
  <si>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</si>
  <si>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</si>
  <si>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</si>
  <si>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</si>
  <si>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</si>
  <si>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</si>
  <si>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</si>
  <si>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</si>
  <si>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</si>
  <si>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</si>
  <si>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</si>
  <si>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</si>
  <si>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</si>
  <si>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</si>
  <si>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</si>
  <si>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</si>
  <si>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</si>
  <si>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</si>
  <si>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</si>
  <si>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</si>
  <si>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</si>
  <si>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</si>
  <si>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</si>
  <si>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</si>
  <si>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</si>
  <si>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</si>
  <si>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</si>
  <si>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</si>
  <si>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</si>
  <si>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</si>
  <si>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</si>
  <si>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</si>
  <si>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</si>
  <si>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</si>
  <si>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</si>
  <si>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</si>
  <si>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</si>
  <si>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</si>
  <si>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</si>
  <si>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</si>
  <si>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</si>
  <si>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</si>
  <si>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</si>
  <si>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</si>
  <si>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</si>
  <si>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</si>
  <si>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</si>
  <si>
    <t>RIGHT(text)</t>
  </si>
  <si>
    <t>RIGHT(date)</t>
  </si>
  <si>
    <t>issue because date was in date formate</t>
  </si>
  <si>
    <t>year</t>
  </si>
  <si>
    <t>Flenderson mark</t>
  </si>
  <si>
    <t>5-6-2001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</si>
</sst>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BB6B9B2-1FCF-47B1-9C29-036164265A29}">
  <we:reference id="wa200009404" version="1.0.0.8" store="en-US" storeType="OMEX"/>
  <we:alternateReferences>
    <we:reference id="wa200009404" version="1.0.0.8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K10"/>
  <sheetViews>
    <sheetView workbookViewId="0">
      <selection activeCell="J5" sqref="J5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79</v>
      </c>
      <c r="K1" t="s">
        <v>80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>
        <f>MAX(H2:H10)</f>
        <v>37933</v>
      </c>
      <c r="K2" s="1">
        <f>MIN(I2:I10)</f>
        <v>40800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>MAX(G2:G10)</f>
        <v>65000</v>
      </c>
      <c r="K3">
        <f>MIN(G2:G10)</f>
        <v>36000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L10"/>
  <sheetViews>
    <sheetView topLeftCell="C1" workbookViewId="0">
      <selection activeCell="M8" sqref="M8"/>
    </sheetView>
  </sheetViews>
  <sheetFormatPr defaultColWidth="13.6640625" defaultRowHeight="14.4" x14ac:dyDescent="0.3"/>
  <cols>
    <col min="1" max="1" width="10.77734375" bestFit="1" customWidth="1"/>
    <col min="4" max="4" width="7.6640625" customWidth="1"/>
    <col min="11" max="11" width="18.88671875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81</v>
      </c>
      <c r="K1" t="s">
        <v>82</v>
      </c>
      <c r="L1" t="s">
        <v>81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IF(E2:E10 = "Male", "strong","weak")</f>
        <v>strong</v>
      </c>
      <c r="K2" t="str">
        <f>_xlfn.IFS(F2:F10 = "Salesman","Best in sales",F2:F10 = "Accountant","calculate salary")</f>
        <v>Best in sales</v>
      </c>
      <c r="L2" t="str">
        <f>IF(D2:D10 &lt;32,"Hire","Rejected")</f>
        <v>Hire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IF(E3:E11 = "Male", "strong","weak")</f>
        <v>weak</v>
      </c>
      <c r="K3" t="e">
        <f t="shared" ref="K3:K10" si="1">_xlfn.IFS(F3:F11 = "Salesman","Best in sales",F3:F11 = "Accountant","calculate salary")</f>
        <v>#N/A</v>
      </c>
      <c r="L3" t="str">
        <f t="shared" ref="L3:L10" si="2">IF(D3:D11 &lt;32,"Hire","Rejected")</f>
        <v>Hire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strong</v>
      </c>
      <c r="K4" t="str">
        <f t="shared" si="1"/>
        <v>Best in sales</v>
      </c>
      <c r="L4" t="str">
        <f t="shared" si="2"/>
        <v>Hire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weak</v>
      </c>
      <c r="K5" t="str">
        <f t="shared" si="1"/>
        <v>calculate salary</v>
      </c>
      <c r="L5" t="str">
        <f t="shared" si="2"/>
        <v>Hire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strong</v>
      </c>
      <c r="K6" t="e">
        <f t="shared" si="1"/>
        <v>#N/A</v>
      </c>
      <c r="L6" t="str">
        <f t="shared" si="2"/>
        <v>Rejected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strong</v>
      </c>
      <c r="K7" t="e">
        <f t="shared" si="1"/>
        <v>#N/A</v>
      </c>
      <c r="L7" t="str">
        <f t="shared" si="2"/>
        <v>Rejected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weak</v>
      </c>
      <c r="K8" t="e">
        <f t="shared" si="1"/>
        <v>#N/A</v>
      </c>
      <c r="L8" t="str">
        <f t="shared" si="2"/>
        <v>Rejected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strong</v>
      </c>
      <c r="K9" t="str">
        <f t="shared" si="1"/>
        <v>Best in sales</v>
      </c>
      <c r="L9" t="str">
        <f t="shared" si="2"/>
        <v>Rejected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strong</v>
      </c>
      <c r="K10" t="str">
        <f t="shared" si="1"/>
        <v>calculate salary</v>
      </c>
      <c r="L10" t="str">
        <f t="shared" si="2"/>
        <v>Hire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topLeftCell="B1" workbookViewId="0">
      <selection activeCell="F21" sqref="F21:F22"/>
    </sheetView>
  </sheetViews>
  <sheetFormatPr defaultColWidth="10.88671875" defaultRowHeight="14.4" x14ac:dyDescent="0.3"/>
  <cols>
    <col min="1" max="1" width="10.77734375" bestFit="1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LEN(C2:C10)</f>
        <v>7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 t="shared" ref="J3:J10" si="0">LEN(C3:C11)</f>
        <v>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f t="shared" si="0"/>
        <v>7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f t="shared" si="0"/>
        <v>6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f t="shared" si="0"/>
        <v>10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f t="shared" si="0"/>
        <v>5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f t="shared" si="0"/>
        <v>6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f t="shared" si="0"/>
        <v>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f t="shared" si="0"/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0"/>
  <sheetViews>
    <sheetView topLeftCell="D1" workbookViewId="0">
      <selection activeCell="H7" sqref="H7"/>
    </sheetView>
  </sheetViews>
  <sheetFormatPr defaultColWidth="14.5546875" defaultRowHeight="14.4" x14ac:dyDescent="0.3"/>
  <cols>
    <col min="4" max="4" width="8" customWidth="1"/>
    <col min="10" max="10" width="32.33203125" bestFit="1" customWidth="1"/>
  </cols>
  <sheetData>
    <row r="1" spans="1:13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85</v>
      </c>
      <c r="L1" t="s">
        <v>86</v>
      </c>
      <c r="M1" t="s">
        <v>86</v>
      </c>
    </row>
    <row r="2" spans="1:13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s="1" t="s">
        <v>39</v>
      </c>
      <c r="K2" t="str">
        <f>LEFT(F2:F10,3)</f>
        <v>Sal</v>
      </c>
      <c r="L2" t="str">
        <f>RIGHT(A2:A10,2)</f>
        <v>01</v>
      </c>
      <c r="M2" t="str">
        <f>RIGHT(H2:H10,4)</f>
        <v>2001</v>
      </c>
    </row>
    <row r="3" spans="1:13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s="1" t="s">
        <v>40</v>
      </c>
      <c r="K3" t="str">
        <f t="shared" ref="K3:K10" si="0">LEFT(F3:F11,3)</f>
        <v>Rec</v>
      </c>
      <c r="L3" t="str">
        <f t="shared" ref="L3:L10" si="1">RIGHT(A3:A11,2)</f>
        <v>02</v>
      </c>
      <c r="M3" t="str">
        <f t="shared" ref="M3:M10" si="2">RIGHT(H3:H11,4)</f>
        <v>1999</v>
      </c>
    </row>
    <row r="4" spans="1:13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s="1" t="s">
        <v>41</v>
      </c>
      <c r="K4" t="str">
        <f t="shared" si="0"/>
        <v>Sal</v>
      </c>
      <c r="L4" t="str">
        <f t="shared" si="1"/>
        <v>03</v>
      </c>
      <c r="M4" t="str">
        <f>RIGHT(H4:H12,4)</f>
        <v>2000</v>
      </c>
    </row>
    <row r="5" spans="1:13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s="1" t="s">
        <v>42</v>
      </c>
      <c r="K5" t="str">
        <f t="shared" si="0"/>
        <v>Acc</v>
      </c>
      <c r="L5" t="str">
        <f t="shared" si="1"/>
        <v>04</v>
      </c>
      <c r="M5" t="str">
        <f t="shared" si="2"/>
        <v>2000</v>
      </c>
    </row>
    <row r="6" spans="1:13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s="1" t="s">
        <v>43</v>
      </c>
      <c r="K6" t="str">
        <f t="shared" si="0"/>
        <v>HR</v>
      </c>
      <c r="L6" t="str">
        <f t="shared" si="1"/>
        <v>05</v>
      </c>
      <c r="M6" t="str">
        <f t="shared" si="2"/>
        <v>2001</v>
      </c>
    </row>
    <row r="7" spans="1:13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s="1" t="s">
        <v>44</v>
      </c>
      <c r="K7" t="str">
        <f t="shared" si="0"/>
        <v>Reg</v>
      </c>
      <c r="L7" t="str">
        <f t="shared" si="1"/>
        <v>06</v>
      </c>
      <c r="M7" t="str">
        <f t="shared" si="2"/>
        <v>2001</v>
      </c>
    </row>
    <row r="8" spans="1:13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s="1" t="s">
        <v>45</v>
      </c>
      <c r="K8" t="str">
        <f t="shared" si="0"/>
        <v>Sup</v>
      </c>
      <c r="L8" t="str">
        <f t="shared" si="1"/>
        <v>07</v>
      </c>
      <c r="M8" t="str">
        <f t="shared" si="2"/>
        <v>2003</v>
      </c>
    </row>
    <row r="9" spans="1:13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s="1" t="s">
        <v>46</v>
      </c>
      <c r="K9" t="str">
        <f t="shared" si="0"/>
        <v>Sal</v>
      </c>
      <c r="L9" t="str">
        <f t="shared" si="1"/>
        <v>08</v>
      </c>
      <c r="M9" t="str">
        <f t="shared" si="2"/>
        <v>2002</v>
      </c>
    </row>
    <row r="10" spans="1:13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s="1" t="s">
        <v>47</v>
      </c>
      <c r="K10" t="str">
        <f t="shared" si="0"/>
        <v>Acc</v>
      </c>
      <c r="L10" t="str">
        <f t="shared" si="1"/>
        <v>09</v>
      </c>
      <c r="M10" t="str">
        <f t="shared" si="2"/>
        <v>2003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M13"/>
  <sheetViews>
    <sheetView topLeftCell="C1" workbookViewId="0">
      <selection activeCell="L15" sqref="L15"/>
    </sheetView>
  </sheetViews>
  <sheetFormatPr defaultColWidth="13.6640625" defaultRowHeight="14.4" x14ac:dyDescent="0.3"/>
  <cols>
    <col min="1" max="1" width="10.77734375" bestFit="1" customWidth="1"/>
    <col min="4" max="4" width="7.6640625" customWidth="1"/>
    <col min="10" max="10" width="21.77734375" customWidth="1"/>
  </cols>
  <sheetData>
    <row r="1" spans="1:13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69</v>
      </c>
      <c r="K1" t="s">
        <v>87</v>
      </c>
      <c r="L1" t="s">
        <v>88</v>
      </c>
      <c r="M1" t="s">
        <v>90</v>
      </c>
    </row>
    <row r="2" spans="1:13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TEXT(H2:H10,"dd/mm/yyyy")</f>
        <v>02/11/2001</v>
      </c>
      <c r="K2" s="2"/>
      <c r="L2" t="str">
        <f>RIGHT(H2:H10,4)</f>
        <v>7197</v>
      </c>
      <c r="M2">
        <f>YEAR(I2:I10)</f>
        <v>2015</v>
      </c>
    </row>
    <row r="3" spans="1:13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TEXT(H3:H11,"dd/mm/yyyy")</f>
        <v>03/10/1999</v>
      </c>
      <c r="K3" s="2"/>
      <c r="L3" t="str">
        <f t="shared" ref="L3:L10" si="1">RIGHT(H3:H11,4)</f>
        <v>6436</v>
      </c>
      <c r="M3">
        <f t="shared" ref="M3:M10" si="2">YEAR(I3:I11)</f>
        <v>2015</v>
      </c>
    </row>
    <row r="4" spans="1:13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>TEXT(H4:H12,"dd/mm/yyyy")</f>
        <v>04/07/2000</v>
      </c>
      <c r="K4" s="2"/>
      <c r="L4" t="str">
        <f t="shared" si="1"/>
        <v>6711</v>
      </c>
      <c r="M4">
        <f t="shared" si="2"/>
        <v>2017</v>
      </c>
    </row>
    <row r="5" spans="1:13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05/01/2000</v>
      </c>
      <c r="K5" s="2"/>
      <c r="L5" t="str">
        <f t="shared" si="1"/>
        <v>6530</v>
      </c>
      <c r="M5">
        <f t="shared" si="2"/>
        <v>2015</v>
      </c>
    </row>
    <row r="6" spans="1:13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06/05/2001</v>
      </c>
      <c r="K6" s="2"/>
      <c r="L6" t="str">
        <f>RIGHT(H6:H14,4)</f>
        <v>7017</v>
      </c>
      <c r="M6">
        <f t="shared" si="2"/>
        <v>2017</v>
      </c>
    </row>
    <row r="7" spans="1:13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07/12/1995</v>
      </c>
      <c r="K7" s="2"/>
      <c r="L7" t="str">
        <f t="shared" si="1"/>
        <v>5040</v>
      </c>
      <c r="M7">
        <f t="shared" si="2"/>
        <v>2013</v>
      </c>
    </row>
    <row r="8" spans="1:13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>TEXT(H8:H16,"dd/mm/yyyy")</f>
        <v>08/11/2003</v>
      </c>
      <c r="K8" s="2"/>
      <c r="L8" t="str">
        <f t="shared" si="1"/>
        <v>7933</v>
      </c>
      <c r="M8">
        <f t="shared" si="2"/>
        <v>2013</v>
      </c>
    </row>
    <row r="9" spans="1:13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09/06/2002</v>
      </c>
      <c r="K9" s="2"/>
      <c r="L9" t="str">
        <f t="shared" si="1"/>
        <v>7416</v>
      </c>
      <c r="M9">
        <f t="shared" si="2"/>
        <v>2015</v>
      </c>
    </row>
    <row r="10" spans="1:13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>TEXT(H10:H18,"dd/mm/yyyy")</f>
        <v>10/08/2003</v>
      </c>
      <c r="K10" s="2"/>
      <c r="L10" t="str">
        <f t="shared" si="1"/>
        <v>7843</v>
      </c>
      <c r="M10">
        <f t="shared" si="2"/>
        <v>2011</v>
      </c>
    </row>
    <row r="12" spans="1:13" x14ac:dyDescent="0.3">
      <c r="H12" s="1"/>
      <c r="L12" t="s">
        <v>89</v>
      </c>
    </row>
    <row r="13" spans="1:13" x14ac:dyDescent="0.3">
      <c r="H1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workbookViewId="0">
      <selection activeCell="K9" sqref="K9"/>
    </sheetView>
  </sheetViews>
  <sheetFormatPr defaultColWidth="13.6640625" defaultRowHeight="14.4" x14ac:dyDescent="0.3"/>
  <cols>
    <col min="1" max="1" width="10.77734375" bestFit="1" customWidth="1"/>
    <col min="4" max="4" width="7.6640625" customWidth="1"/>
    <col min="10" max="10" width="14.8867187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67</v>
      </c>
      <c r="K1" t="s">
        <v>68</v>
      </c>
    </row>
    <row r="2" spans="1:11" x14ac:dyDescent="0.3">
      <c r="A2">
        <v>1001</v>
      </c>
      <c r="B2" s="2" t="s">
        <v>2</v>
      </c>
      <c r="C2" s="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TRIM(C2:C10)</f>
        <v>Halpert</v>
      </c>
    </row>
    <row r="3" spans="1:11" x14ac:dyDescent="0.3">
      <c r="A3">
        <v>1002</v>
      </c>
      <c r="B3" s="2" t="s">
        <v>4</v>
      </c>
      <c r="C3" s="2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TRIM(C3:C11)</f>
        <v>Beasley</v>
      </c>
    </row>
    <row r="4" spans="1:11" x14ac:dyDescent="0.3">
      <c r="A4">
        <v>1003</v>
      </c>
      <c r="B4" s="2" t="s">
        <v>6</v>
      </c>
      <c r="C4" s="2" t="s">
        <v>66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Schrute</v>
      </c>
    </row>
    <row r="5" spans="1:11" x14ac:dyDescent="0.3">
      <c r="A5">
        <v>1004</v>
      </c>
      <c r="B5" s="2" t="s">
        <v>13</v>
      </c>
      <c r="C5" s="2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Martin</v>
      </c>
    </row>
    <row r="6" spans="1:11" x14ac:dyDescent="0.3">
      <c r="A6">
        <v>1005</v>
      </c>
      <c r="B6" s="2" t="s">
        <v>14</v>
      </c>
      <c r="C6" s="2" t="s">
        <v>91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Flenderson mark</v>
      </c>
    </row>
    <row r="7" spans="1:11" x14ac:dyDescent="0.3">
      <c r="A7">
        <v>1006</v>
      </c>
      <c r="B7" s="2" t="s">
        <v>8</v>
      </c>
      <c r="C7" s="2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Scott</v>
      </c>
    </row>
    <row r="8" spans="1:11" x14ac:dyDescent="0.3">
      <c r="A8">
        <v>1007</v>
      </c>
      <c r="B8" s="2" t="s">
        <v>33</v>
      </c>
      <c r="C8" s="2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Palmer</v>
      </c>
    </row>
    <row r="9" spans="1:11" x14ac:dyDescent="0.3">
      <c r="A9">
        <v>1008</v>
      </c>
      <c r="B9" s="2" t="s">
        <v>16</v>
      </c>
      <c r="C9" s="2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Hudson</v>
      </c>
    </row>
    <row r="10" spans="1:11" x14ac:dyDescent="0.3">
      <c r="A10">
        <v>1009</v>
      </c>
      <c r="B10" s="2" t="s">
        <v>10</v>
      </c>
      <c r="C10" s="2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topLeftCell="B1" workbookViewId="0">
      <selection activeCell="K12" sqref="K12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  <c r="K1" t="s">
        <v>71</v>
      </c>
      <c r="L1" t="s">
        <v>72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t="str">
        <f>SUBSTITUTE(H2:H10,"/","-",1)</f>
        <v>11-2/2001</v>
      </c>
      <c r="K2" t="str">
        <f>SUBSTITUTE(I2:I10,"/","-",2)</f>
        <v>9/6-2015</v>
      </c>
      <c r="L2" t="str">
        <f>SUBSTITUTE(H2:H10,"-","/")</f>
        <v>11/2/2001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t="str">
        <f t="shared" ref="J3:J10" si="0">SUBSTITUTE(H3:H11,"/","-",1)</f>
        <v>10-3/1999</v>
      </c>
      <c r="K3" t="str">
        <f t="shared" ref="K3:K10" si="1">SUBSTITUTE(I3:I11,"/","-",2)</f>
        <v>10/10-2015</v>
      </c>
      <c r="L3" t="str">
        <f t="shared" ref="L3:L10" si="2">SUBSTITUTE(H3:H11,"-","/")</f>
        <v>10/3/1999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t="str">
        <f t="shared" si="0"/>
        <v>7-4/2000</v>
      </c>
      <c r="K4" t="str">
        <f t="shared" si="1"/>
        <v>9/8-2017</v>
      </c>
      <c r="L4" t="str">
        <f t="shared" si="2"/>
        <v>7/4/2000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t="str">
        <f t="shared" si="0"/>
        <v>1-5/2000</v>
      </c>
      <c r="K5" t="str">
        <f t="shared" si="1"/>
        <v>12/3-2015</v>
      </c>
      <c r="L5" t="str">
        <f t="shared" si="2"/>
        <v>1/5/2000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92</v>
      </c>
      <c r="I6" s="2" t="s">
        <v>60</v>
      </c>
      <c r="J6" t="str">
        <f t="shared" si="0"/>
        <v>5-6-2001</v>
      </c>
      <c r="K6" t="str">
        <f t="shared" si="1"/>
        <v>8/30-2017</v>
      </c>
      <c r="L6" t="str">
        <f t="shared" si="2"/>
        <v>5/6/2001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t="str">
        <f t="shared" si="0"/>
        <v>5-6/2001</v>
      </c>
      <c r="K7" t="str">
        <f t="shared" si="1"/>
        <v>9/11-2013</v>
      </c>
      <c r="L7" t="str">
        <f t="shared" si="2"/>
        <v>5/6/2001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t="str">
        <f t="shared" si="0"/>
        <v>11-8/2003</v>
      </c>
      <c r="K8" t="str">
        <f t="shared" si="1"/>
        <v>9/11-2013</v>
      </c>
      <c r="L8" t="str">
        <f t="shared" si="2"/>
        <v>11/8/2003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str">
        <f t="shared" si="0"/>
        <v>6-9/2002</v>
      </c>
      <c r="K9" t="str">
        <f t="shared" si="1"/>
        <v>4/22-2015</v>
      </c>
      <c r="L9" t="str">
        <f t="shared" si="2"/>
        <v>6/9/2002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str">
        <f t="shared" si="0"/>
        <v>8-10/2003</v>
      </c>
      <c r="K10" t="str">
        <f t="shared" si="1"/>
        <v>4/22-2015</v>
      </c>
      <c r="L10" t="str">
        <f t="shared" si="2"/>
        <v>8/10/2003</v>
      </c>
    </row>
    <row r="12" spans="1:12" x14ac:dyDescent="0.3">
      <c r="H12" s="2"/>
      <c r="I12" s="2"/>
    </row>
    <row r="13" spans="1:12" x14ac:dyDescent="0.3">
      <c r="H13" s="2"/>
      <c r="I13" s="2"/>
    </row>
    <row r="14" spans="1:12" x14ac:dyDescent="0.3">
      <c r="H14" s="2"/>
      <c r="I14" s="2"/>
    </row>
    <row r="15" spans="1:12" x14ac:dyDescent="0.3">
      <c r="H15" s="2"/>
      <c r="I15" s="2"/>
    </row>
    <row r="16" spans="1:12" x14ac:dyDescent="0.3">
      <c r="H16" s="2"/>
      <c r="I16" s="2"/>
    </row>
    <row r="17" spans="8:9" x14ac:dyDescent="0.3">
      <c r="H17" s="2"/>
      <c r="I17" s="2"/>
    </row>
    <row r="18" spans="8:9" x14ac:dyDescent="0.3">
      <c r="H18" s="2"/>
      <c r="I18" s="2"/>
    </row>
    <row r="19" spans="8:9" x14ac:dyDescent="0.3">
      <c r="H19" s="2"/>
      <c r="I19" s="2"/>
    </row>
    <row r="20" spans="8:9" x14ac:dyDescent="0.3">
      <c r="H20" s="2"/>
      <c r="I20" s="2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workbookViewId="0">
      <selection activeCell="K8" sqref="K8"/>
    </sheetView>
  </sheetViews>
  <sheetFormatPr defaultColWidth="13" defaultRowHeight="14.4" x14ac:dyDescent="0.3"/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73</v>
      </c>
      <c r="K1" t="s">
        <v>74</v>
      </c>
      <c r="L1" t="s">
        <v>75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SUMIF(G2:G10,"&gt;50000")</f>
        <v>128000</v>
      </c>
      <c r="L2">
        <f>SUMIFS(G2:G10,E2:E10,"Male",D2:D10,"&gt;32")</f>
        <v>113000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workbookViewId="0">
      <selection activeCell="G11" sqref="G11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76</v>
      </c>
      <c r="K1" t="s">
        <v>77</v>
      </c>
      <c r="L1" t="s">
        <v>78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COUNT(G2:G10)</f>
        <v>9</v>
      </c>
      <c r="K2">
        <f>COUNTIF(G2:G10,"&gt;45000")</f>
        <v>5</v>
      </c>
      <c r="L2">
        <f>COUNTIFS(G2:G10,"&gt;50000",D2:D10,"&gt;30")</f>
        <v>1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K12"/>
  <sheetViews>
    <sheetView workbookViewId="0">
      <selection activeCell="K12" sqref="K12"/>
    </sheetView>
  </sheetViews>
  <sheetFormatPr defaultRowHeight="14.4" x14ac:dyDescent="0.3"/>
  <cols>
    <col min="2" max="2" width="10.44140625" customWidth="1"/>
    <col min="3" max="5" width="10.6640625" customWidth="1"/>
    <col min="6" max="6" width="16.5546875" customWidth="1"/>
    <col min="8" max="8" width="14.21875" customWidth="1"/>
    <col min="9" max="9" width="14.77734375" customWidth="1"/>
    <col min="10" max="10" width="22" bestFit="1" customWidth="1"/>
    <col min="11" max="11" width="25.10937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CONCATENATE(B2," ",C2)</f>
        <v>Jim Halpert</v>
      </c>
      <c r="K2" t="str">
        <f>CONCATENATE(B2,".",C2,"@hotmail.com")</f>
        <v>Jim.Halpert@hotmail.com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CONCATENATE(B3," ",C3)</f>
        <v>Pam Beasley</v>
      </c>
      <c r="K3" t="str">
        <f t="shared" ref="K3:K10" si="1">CONCATENATE(B3,".",C3,"@hotmail.com")</f>
        <v>Pam.Beasley@hotmail.com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Dwight Schrute</v>
      </c>
      <c r="K4" t="str">
        <f t="shared" si="1"/>
        <v>Dwight.Schrute@hotmail.com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Angela Martin</v>
      </c>
      <c r="K5" t="str">
        <f t="shared" si="1"/>
        <v>Angela.Martin@hotmail.com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Toby Flenderson</v>
      </c>
      <c r="K6" t="str">
        <f t="shared" si="1"/>
        <v>Toby.Flenderson@hotmail.com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Michael Scott</v>
      </c>
      <c r="K7" t="str">
        <f t="shared" si="1"/>
        <v>Michael.Scott@hotmail.com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Meredith Palmer</v>
      </c>
      <c r="K8" t="str">
        <f t="shared" si="1"/>
        <v>Meredith.Palmer@hotmail.com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Stanley Hudson</v>
      </c>
      <c r="K9" t="str">
        <f t="shared" si="1"/>
        <v>Stanley.Hudson@hotmail.com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Kevin Malone</v>
      </c>
      <c r="K10" t="str">
        <f t="shared" si="1"/>
        <v>Kevin.Malone@hotmail.com</v>
      </c>
    </row>
    <row r="11" spans="1:11" x14ac:dyDescent="0.3">
      <c r="H11" t="str">
        <f t="shared" ref="H11:H12" si="2">CONCATENATE(B11," ",C11)</f>
        <v xml:space="preserve"> </v>
      </c>
    </row>
    <row r="12" spans="1:11" x14ac:dyDescent="0.3">
      <c r="H12" t="str">
        <f t="shared" si="2"/>
        <v xml:space="preserve"> 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0"/>
  <sheetViews>
    <sheetView tabSelected="1" workbookViewId="0">
      <selection activeCell="O16" sqref="O16"/>
    </sheetView>
  </sheetViews>
  <sheetFormatPr defaultRowHeight="14.4" x14ac:dyDescent="0.3"/>
  <cols>
    <col min="8" max="8" width="14.44140625" customWidth="1"/>
    <col min="9" max="9" width="13.33203125" customWidth="1"/>
    <col min="11" max="11" width="20.332031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83</v>
      </c>
      <c r="K1" t="s">
        <v>84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>
        <f>_xlfn.DAYS(I2,H2)</f>
        <v>5056</v>
      </c>
      <c r="K2">
        <f>NETWORKDAYS(H2,I2)</f>
        <v>3611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>
        <f t="shared" ref="J3:J10" si="0">_xlfn.DAYS(I3,H3)</f>
        <v>5851</v>
      </c>
      <c r="K3">
        <f t="shared" ref="K3:K10" si="1">NETWORKDAYS(H3,I3)</f>
        <v>4180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>
        <f t="shared" si="0"/>
        <v>6275</v>
      </c>
      <c r="K4">
        <f t="shared" si="1"/>
        <v>4484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>
        <f t="shared" si="0"/>
        <v>5811</v>
      </c>
      <c r="K5">
        <f t="shared" si="1"/>
        <v>4152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>
        <f t="shared" si="0"/>
        <v>5960</v>
      </c>
      <c r="K6">
        <f t="shared" si="1"/>
        <v>4258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>
        <f t="shared" si="0"/>
        <v>4511</v>
      </c>
      <c r="K7">
        <f t="shared" si="1"/>
        <v>3223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>
        <f t="shared" si="0"/>
        <v>3595</v>
      </c>
      <c r="K8">
        <f t="shared" si="1"/>
        <v>2568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>
        <f t="shared" si="0"/>
        <v>4700</v>
      </c>
      <c r="K9">
        <f t="shared" si="1"/>
        <v>3358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>
        <f t="shared" si="0"/>
        <v>4273</v>
      </c>
      <c r="K10">
        <f t="shared" si="1"/>
        <v>3053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Substitute</vt:lpstr>
      <vt:lpstr>SUM-SumIF</vt:lpstr>
      <vt:lpstr>Count-CountIF</vt:lpstr>
      <vt:lpstr>Concatenate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PRAVEEN C</cp:lastModifiedBy>
  <dcterms:created xsi:type="dcterms:W3CDTF">2021-12-16T14:18:34Z</dcterms:created>
  <dcterms:modified xsi:type="dcterms:W3CDTF">2026-03-12T16:46:12Z</dcterms:modified>
</cp:coreProperties>
</file>