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54439645-2EC1-42CB-9F38-C6137F6B2E87}" xr6:coauthVersionLast="47" xr6:coauthVersionMax="47" xr10:uidLastSave="{00000000-0000-0000-0000-000000000000}"/>
  <bookViews>
    <workbookView xWindow="-108" yWindow="-108" windowWidth="23256" windowHeight="12456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6" i="8"/>
  <c r="B5" i="8"/>
  <c r="B4" i="8"/>
  <c r="B3" i="8"/>
  <c r="B4" i="6" a="1"/>
  <c r="B4" i="6"/>
  <c r="B5" i="6" a="1"/>
  <c r="B5" i="6"/>
  <c r="B6" i="6" a="1"/>
  <c r="B6" i="6"/>
  <c r="B3" i="6" a="1"/>
  <c r="B3" i="6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<sst xmlns="http://schemas.openxmlformats.org/spreadsheetml/2006/main" count="491" uniqueCount="99">
  <si>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</si>
  <si>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</si>
  <si>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</si>
  <si>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</si>
  <si>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</si>
  <si>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</si>
  <si>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</si>
  <si>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</si>
  <si>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</si>
  <si>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</si>
  <si>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</si>
  <si>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</si>
  <si>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</si>
  <si>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</si>
  <si>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</si>
  <si>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</si>
  <si>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</si>
  <si>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</si>
  <si>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</si>
  <si>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</si>
  <si>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</si>
  <si>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</si>
  <si>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</si>
  <si>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</si>
  <si>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</si>
  <si>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</si>
  <si>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</si>
  <si>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</si>
  <si>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</si>
  <si>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</si>
  <si>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</si>
  <si>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</si>
  <si>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</si>
  <si>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</si>
  <si>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</si>
  <si>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</si>
  <si>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</si>
  <si>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</si>
  <si>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</si>
  <si>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</si>
  <si>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</si>
  <si>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</si>
  <si>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</si>
  <si>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</si>
  <si>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</si>
  <si>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</si>
  <si>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</si>
  <si>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</si>
  <si>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</si>
  <si>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</si>
  <si>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</si>
  <si>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</si>
  <si>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</si>
  <si>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</si>
  <si>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</si>
  <si>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</si>
  <si>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</si>
  <si>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</si>
  <si>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</si>
  <si>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</si>
  <si>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</si>
  <si>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</si>
  <si>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</si>
  <si>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</si>
  <si>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</si>
  <si>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</si>
  <si>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</si>
  <si>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</si>
  <si>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</si>
  <si>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</si>
  <si>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</si>
  <si>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</si>
  <si>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WILDCARD</t>
  </si>
  <si>
    <t>Kevin Malo</t>
  </si>
  <si>
    <t>Start Date</t>
  </si>
  <si>
    <t>Person</t>
  </si>
  <si>
    <t>1/1/2000</t>
  </si>
  <si>
    <t>exactr match / next largee itme</t>
  </si>
  <si>
    <t xml:space="preserve">search last to first </t>
  </si>
  <si>
    <t>6/6/2001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</si>
  <si>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</si>
  <si>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</si>
  <si>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</si>
  <si>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</si>
  <si>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</si>
  <si>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</si>
  <si>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</si>
  <si>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</si>
  <si>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</si>
  <si>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</si>
  <si>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</si>
  <si>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</si>
  <si>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</si>
  <si>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</si>
  <si>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</si>
  <si>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</si>
  <si>
    <t>ISSUE</t>
  </si>
  <si>
    <t xml:space="preserve">issue : creating a new column will disrupt the vlookup </t>
  </si>
  <si>
    <t xml:space="preserve">check in xlookup it wont make this issue for 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</si>
</sst>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16" sqref="B16"/>
    </sheetView>
  </sheetViews>
  <sheetFormatPr defaultRowHeight="14.45"/>
  <cols>
    <col min="1" max="1" width="19.140625" customWidth="1"/>
    <col min="2" max="2" width="41" customWidth="1"/>
    <col min="3" max="3" width="5.5703125" customWidth="1"/>
    <col min="4" max="4" width="2.42578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</row>
    <row r="2" spans="1:16">
      <c r="A2" s="4" t="s">
        <v>3</v>
      </c>
      <c r="B2" s="4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s="3" t="str">
        <f>_xlfn.XLOOKUP(A3,H2:H10,P2:P10)</f>
        <v>Toby.Flenderson@DunderMifflinCorporate.com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s="3" t="str">
        <f t="shared" ref="B4:B6" si="0">_xlfn.XLOOKUP(A4,H3:H11,P3:P11)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s="3" t="str">
        <f t="shared" si="0"/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s="3" t="str">
        <f t="shared" si="0"/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8:8">
      <c r="H22" t="str">
        <f t="shared" ref="H22:H23" si="1">CONCATENATE(F12," ",G12)</f>
        <v xml:space="preserve"> </v>
      </c>
    </row>
    <row r="23" spans="8:8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G10" sqref="G10"/>
    </sheetView>
  </sheetViews>
  <sheetFormatPr defaultRowHeight="14.45"/>
  <cols>
    <col min="1" max="1" width="14.7109375" bestFit="1" customWidth="1"/>
    <col min="2" max="2" width="13.42578125" customWidth="1"/>
    <col min="3" max="3" width="24.5703125" customWidth="1"/>
    <col min="9" max="9" width="14.7109375" bestFit="1" customWidth="1"/>
    <col min="12" max="12" width="15.7109375" bestFit="1" customWidth="1"/>
    <col min="13" max="13" width="12.85546875" customWidth="1"/>
    <col min="14" max="14" width="13.85546875" customWidth="1"/>
    <col min="15" max="15" width="15.7109375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10</v>
      </c>
      <c r="C2" t="s">
        <v>11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7" sqref="B7"/>
    </sheetView>
  </sheetViews>
  <sheetFormatPr defaultRowHeight="14.45"/>
  <cols>
    <col min="1" max="1" width="14.7109375" bestFit="1" customWidth="1"/>
    <col min="2" max="2" width="24.5703125" customWidth="1"/>
    <col min="3" max="3" width="10.42578125" bestFit="1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19</v>
      </c>
    </row>
    <row r="3" spans="1:15">
      <c r="A3" t="s">
        <v>71</v>
      </c>
      <c r="B3" t="str">
        <f>_xlfn.XLOOKUP(A3,H2:H10,O2:O10,"NotFound")</f>
        <v>NotFound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K3" t="s">
        <v>25</v>
      </c>
      <c r="L3">
        <v>36000</v>
      </c>
      <c r="M3" s="1" t="s">
        <v>26</v>
      </c>
      <c r="N3" s="1" t="s">
        <v>27</v>
      </c>
      <c r="O3" s="2" t="s">
        <v>28</v>
      </c>
    </row>
    <row r="4" spans="1:15">
      <c r="A4" t="s">
        <v>22</v>
      </c>
      <c r="B4" t="str">
        <f>_xlfn.XLOOKUP("*"&amp;A4,H3:H11,O3:O11,"Not found",2)</f>
        <v>Pam.Beasley@DunderMifflin.com</v>
      </c>
      <c r="C4" s="5" t="s">
        <v>72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K4" t="s">
        <v>16</v>
      </c>
      <c r="L4">
        <v>63000</v>
      </c>
      <c r="M4" s="1" t="s">
        <v>32</v>
      </c>
      <c r="N4" s="1" t="s">
        <v>33</v>
      </c>
      <c r="O4" s="2" t="s">
        <v>34</v>
      </c>
    </row>
    <row r="5" spans="1:15">
      <c r="A5" t="s">
        <v>56</v>
      </c>
      <c r="B5" t="str">
        <f>_xlfn.XLOOKUP(A5&amp;"*",H4:H12,O4:O12,"NotFound",2)</f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K5" t="s">
        <v>39</v>
      </c>
      <c r="L5">
        <v>47000</v>
      </c>
      <c r="M5" s="1" t="s">
        <v>40</v>
      </c>
      <c r="N5" s="1" t="s">
        <v>41</v>
      </c>
      <c r="O5" s="2" t="s">
        <v>42</v>
      </c>
    </row>
    <row r="6" spans="1:15">
      <c r="A6" t="s">
        <v>73</v>
      </c>
      <c r="B6" t="str">
        <f>_xlfn.XLOOKUP(A6&amp;"*",H5:H13,O5:O13,"NotFound",2)</f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K6" t="s">
        <v>46</v>
      </c>
      <c r="L6">
        <v>50000</v>
      </c>
      <c r="M6" s="1" t="s">
        <v>47</v>
      </c>
      <c r="N6" s="1" t="s">
        <v>48</v>
      </c>
      <c r="O6" s="2" t="s">
        <v>49</v>
      </c>
    </row>
    <row r="7" spans="1:15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K7" t="s">
        <v>53</v>
      </c>
      <c r="L7">
        <v>65000</v>
      </c>
      <c r="M7" s="1" t="s">
        <v>47</v>
      </c>
      <c r="N7" s="1" t="s">
        <v>54</v>
      </c>
      <c r="O7" s="2" t="s">
        <v>55</v>
      </c>
    </row>
    <row r="8" spans="1:15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K8" t="s">
        <v>58</v>
      </c>
      <c r="L8">
        <v>41000</v>
      </c>
      <c r="M8" s="1" t="s">
        <v>59</v>
      </c>
      <c r="N8" s="1" t="s">
        <v>54</v>
      </c>
      <c r="O8" s="2" t="s">
        <v>60</v>
      </c>
    </row>
    <row r="9" spans="1:15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K9" t="s">
        <v>16</v>
      </c>
      <c r="L9">
        <v>48000</v>
      </c>
      <c r="M9" s="1" t="s">
        <v>64</v>
      </c>
      <c r="N9" s="1" t="s">
        <v>65</v>
      </c>
      <c r="O9" s="2" t="s">
        <v>66</v>
      </c>
    </row>
    <row r="10" spans="1:15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K10" t="s">
        <v>39</v>
      </c>
      <c r="L10">
        <v>42000</v>
      </c>
      <c r="M10" s="1" t="s">
        <v>69</v>
      </c>
      <c r="N10" s="1" t="s">
        <v>65</v>
      </c>
      <c r="O10" s="2" t="s">
        <v>70</v>
      </c>
    </row>
    <row r="22" spans="8:8">
      <c r="H22" t="str">
        <f t="shared" ref="H22:H23" si="0">CONCATENATE(F12," ",G12)</f>
        <v xml:space="preserve"> </v>
      </c>
    </row>
    <row r="23" spans="8:8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6" sqref="B6"/>
    </sheetView>
  </sheetViews>
  <sheetFormatPr defaultRowHeight="14.45"/>
  <cols>
    <col min="1" max="1" width="14.7109375" bestFit="1" customWidth="1"/>
    <col min="2" max="2" width="14.7109375" customWidth="1"/>
    <col min="3" max="3" width="31.42578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74</v>
      </c>
      <c r="B2" t="s">
        <v>75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 ht="30.75">
      <c r="A3" s="1" t="s">
        <v>76</v>
      </c>
      <c r="B3" t="str">
        <f>_xlfn.XLOOKUP(A3,N2:N10,I2:I10,,1)</f>
        <v>Angela Martin</v>
      </c>
      <c r="C3" s="7" t="s">
        <v>77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s="1" t="s">
        <v>47</v>
      </c>
      <c r="B4" t="str">
        <f>_xlfn.XLOOKUP(A4,N2:N10,I2:I10,,,-1)</f>
        <v>Toby Flenderson</v>
      </c>
      <c r="C4" s="5" t="s">
        <v>78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79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140625" defaultRowHeight="14.45"/>
  <cols>
    <col min="7" max="7" width="12.140625" bestFit="1" customWidth="1"/>
  </cols>
  <sheetData>
    <row r="1" spans="1:19">
      <c r="B1" t="s">
        <v>80</v>
      </c>
      <c r="H1" t="s">
        <v>81</v>
      </c>
      <c r="I1" t="s">
        <v>80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</row>
    <row r="2" spans="1:19">
      <c r="A2" t="s">
        <v>92</v>
      </c>
      <c r="B2">
        <f>_xlfn.XLOOKUP(I1,H1:S1,H2:S2)</f>
        <v>310</v>
      </c>
      <c r="G2" t="s">
        <v>92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93</v>
      </c>
      <c r="B3">
        <f t="shared" ref="B3:B4" si="0">_xlfn.XLOOKUP(I2,H2:S2,H3:S3)</f>
        <v>40</v>
      </c>
      <c r="G3" t="s">
        <v>93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94</v>
      </c>
      <c r="B4">
        <f t="shared" si="0"/>
        <v>118</v>
      </c>
      <c r="G4" t="s">
        <v>94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40625" defaultRowHeight="14.45"/>
  <cols>
    <col min="2" max="2" width="36.5703125" bestFit="1" customWidth="1"/>
    <col min="7" max="7" width="12.140625" bestFit="1" customWidth="1"/>
  </cols>
  <sheetData>
    <row r="1" spans="1:19">
      <c r="B1" t="s">
        <v>80</v>
      </c>
      <c r="H1" t="s">
        <v>81</v>
      </c>
      <c r="I1" t="s">
        <v>80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</row>
    <row r="2" spans="1:19">
      <c r="A2" t="s">
        <v>92</v>
      </c>
      <c r="B2">
        <f>_xlfn.XLOOKUP(I1,H1:S1,H2:S2)</f>
        <v>310</v>
      </c>
      <c r="G2" t="s">
        <v>92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93</v>
      </c>
      <c r="B3">
        <f t="shared" ref="B3:B4" si="0">_xlfn.XLOOKUP(I2,H2:S2,H3:S3)</f>
        <v>40</v>
      </c>
      <c r="G3" t="s">
        <v>93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94</v>
      </c>
      <c r="B4">
        <f t="shared" si="0"/>
        <v>118</v>
      </c>
      <c r="G4" t="s">
        <v>94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95</v>
      </c>
    </row>
    <row r="7" spans="1:19" ht="30.75">
      <c r="A7" t="s">
        <v>92</v>
      </c>
      <c r="B7" s="6">
        <f ca="1"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3"/>
  <sheetViews>
    <sheetView tabSelected="1" workbookViewId="0">
      <selection activeCell="F13" sqref="F13"/>
    </sheetView>
  </sheetViews>
  <sheetFormatPr defaultRowHeight="14.45"/>
  <cols>
    <col min="1" max="1" width="14.42578125" customWidth="1"/>
    <col min="2" max="2" width="26.28515625" customWidth="1"/>
    <col min="3" max="4" width="0" hidden="1" customWidth="1"/>
    <col min="5" max="5" width="27.42578125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31</v>
      </c>
      <c r="B3" t="str">
        <f>VLOOKUP(A3,H2:P10,9,FALSE)</f>
        <v>Dwight.Schrute@AOL.com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52</v>
      </c>
      <c r="B4" t="str">
        <f t="shared" ref="B4:B5" si="0">VLOOKUP(A4,H3:P11,9,FALSE)</f>
        <v>Michael.Scott@DunderMifflin.com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63</v>
      </c>
      <c r="B5" t="str">
        <f t="shared" si="0"/>
        <v>Stanley.Hudson@gmail.com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13" spans="1:16" ht="45.75">
      <c r="A13" s="9" t="s">
        <v>96</v>
      </c>
      <c r="B13" s="8" t="s">
        <v>97</v>
      </c>
      <c r="E13" s="6" t="s">
        <v>98</v>
      </c>
    </row>
  </sheetData>
  <conditionalFormatting sqref="E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{AFF38AB0-7C90-4367-AE60-E4B7BE6593A2}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F38AB0-7C90-4367-AE60-E4B7BE659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2026-03-12T21:10:43Z</dcterms:modified>
  <cp:category/>
  <cp:contentStatus/>
</cp:coreProperties>
</file>